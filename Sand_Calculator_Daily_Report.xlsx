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/>
  <xr:revisionPtr revIDLastSave="0" documentId="11_30C7B79245A997432BA9DFB96F1283A2D3EC55AA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ข้อมูลและการคำนวณประจำวัน" sheetId="1" r:id="rId1"/>
    <sheet name="สรุปรายงานประจำวัน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1" i="2"/>
  <c r="B20" i="2"/>
  <c r="B19" i="2"/>
  <c r="B18" i="1"/>
  <c r="B18" i="2"/>
  <c r="B17" i="1"/>
  <c r="B17" i="2"/>
  <c r="B16" i="2"/>
  <c r="B15" i="2"/>
  <c r="B14" i="2"/>
  <c r="B13" i="2"/>
  <c r="B12" i="2"/>
  <c r="B7" i="2"/>
  <c r="B6" i="2"/>
  <c r="B5" i="2"/>
</calcChain>
</file>

<file path=xl/sharedStrings.xml><?xml version="1.0" encoding="utf-8"?>
<sst xmlns="http://schemas.openxmlformats.org/spreadsheetml/2006/main" count="66" uniqueCount="38">
  <si>
    <t>Sand Calculator - ข้อมูลและการคำนวณระหว่างวัน</t>
  </si>
  <si>
    <t>1. ส่วนบันทึกข้อมูลดิบ (Raw Data Inputs)</t>
  </si>
  <si>
    <t>รายการข้อมูล</t>
  </si>
  <si>
    <t>ค่าที่บันทึก</t>
  </si>
  <si>
    <t>หน่วย</t>
  </si>
  <si>
    <t>ยอดผลิตระหว่างวัน (Production)</t>
  </si>
  <si>
    <t>CU.M</t>
  </si>
  <si>
    <t>Sand Con CDE</t>
  </si>
  <si>
    <t>%</t>
  </si>
  <si>
    <t>Mix Design Sand SUB</t>
  </si>
  <si>
    <t>Mix Design Sand Con</t>
  </si>
  <si>
    <t>Ton</t>
  </si>
  <si>
    <t>Print Out Sand SUB</t>
  </si>
  <si>
    <t>Print Out Sand Con</t>
  </si>
  <si>
    <t>Water (C) [Mix Design]</t>
  </si>
  <si>
    <t>KG</t>
  </si>
  <si>
    <t>Water Print Out</t>
  </si>
  <si>
    <t>2. ผลลัพธ์การคำนวณประจำวัน (Calculated Materials)</t>
  </si>
  <si>
    <t>รายการวัสดุที่คำนวณได้</t>
  </si>
  <si>
    <t>ปริมาณสุทธิ</t>
  </si>
  <si>
    <t>Sand SUB สุทธิ</t>
  </si>
  <si>
    <t>Sand Con สุทธิ</t>
  </si>
  <si>
    <t>Water ปรับปรุงสุทธิ</t>
  </si>
  <si>
    <t>Daily Material Report Summary (สรุปรายงานการใช้ประจำวัน)</t>
  </si>
  <si>
    <t>บทสรุปปริมาณวัสดุสุทธิ (Net Material Summary KPIs)</t>
  </si>
  <si>
    <t>รายการวัสดุหลัก</t>
  </si>
  <si>
    <t>สรุปยอดสุทธิประจำวัน</t>
  </si>
  <si>
    <t>Sand SUB (รวม)</t>
  </si>
  <si>
    <t>Sand Con (รวม)</t>
  </si>
  <si>
    <t>Water ปรับปรุง (รวม)</t>
  </si>
  <si>
    <t>ตารางแจกแจงรายละเอียดและตรวจสอบยอด (Detailed Material Breakdown)</t>
  </si>
  <si>
    <t>รายการตรวจสอบข้อมูล</t>
  </si>
  <si>
    <t>ผลลัพธ์</t>
  </si>
  <si>
    <t>ยอดผลิตระหว่างวัน</t>
  </si>
  <si>
    <t>Sand SUB สุทธิประจำวัน</t>
  </si>
  <si>
    <t>Sand Con สุทธิประจำวัน</t>
  </si>
  <si>
    <t>Water (C)</t>
  </si>
  <si>
    <t>Water ปรับปรุงสุทธิประจำวัน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</si>
</sst>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00"/>
  </numFmts>
  <fonts count="7" x14ac:knownFonts="1">
    <font>
      <sz val="11"/>
      <color theme="1"/>
      <name val="Tahoma"/>
      <family val="2"/>
      <scheme val="minor"/>
    </font>
    <font>
      <b/>
      <sz val="16"/>
      <color rgb="FFFFFFFF"/>
      <name val="Segoe UI"/>
    </font>
    <font>
      <b/>
      <sz val="12"/>
      <color rgb="FF1E293B"/>
      <name val="Segoe UI"/>
    </font>
    <font>
      <b/>
      <sz val="11"/>
      <color rgb="FFFFFFFF"/>
      <name val="Segoe UI"/>
    </font>
    <font>
      <sz val="11"/>
      <name val="Segoe UI"/>
    </font>
    <font>
      <b/>
      <sz val="11"/>
      <name val="Segoe UI"/>
    </font>
    <font>
      <b/>
      <sz val="12"/>
      <color rgb="FF000000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rgb="FFECFDF5"/>
        <bgColor rgb="FFECFDF5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E0F2FE"/>
        <bgColor rgb="FFE0F2FE"/>
      </patternFill>
    </fill>
    <fill>
      <patternFill patternType="solid">
        <fgColor rgb="FF475569"/>
        <bgColor rgb="FF475569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187" fontId="5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187" fontId="5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87" fontId="5" fillId="6" borderId="1" xfId="0" applyNumberFormat="1" applyFont="1" applyFill="1" applyBorder="1" applyAlignment="1">
      <alignment horizontal="right" vertical="center"/>
    </xf>
    <xf numFmtId="187" fontId="6" fillId="7" borderId="1" xfId="0" applyNumberFormat="1" applyFont="1" applyFill="1" applyBorder="1" applyAlignment="1">
      <alignment horizontal="right" vertical="center"/>
    </xf>
    <xf numFmtId="187" fontId="6" fillId="8" borderId="1" xfId="0" applyNumberFormat="1" applyFont="1" applyFill="1" applyBorder="1" applyAlignment="1">
      <alignment horizontal="right" vertical="center"/>
    </xf>
    <xf numFmtId="187" fontId="6" fillId="9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/>
    </xf>
    <xf numFmtId="187" fontId="4" fillId="0" borderId="1" xfId="0" applyNumberFormat="1" applyFont="1" applyBorder="1" applyAlignment="1">
      <alignment horizontal="right" vertical="center"/>
    </xf>
    <xf numFmtId="187" fontId="5" fillId="11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B19" sqref="B19"/>
    </sheetView>
  </sheetViews>
  <sheetFormatPr defaultRowHeight="14.25" x14ac:dyDescent="0.15"/>
  <cols>
    <col min="1" max="1" width="48.95703125" customWidth="1"/>
    <col min="2" max="3" width="24.9765625" customWidth="1"/>
  </cols>
  <sheetData>
    <row r="1" spans="1:3" ht="39.950000000000003" customHeight="1" x14ac:dyDescent="0.15">
      <c r="A1" s="16" t="s">
        <v>0</v>
      </c>
      <c r="B1" s="17"/>
      <c r="C1" s="17"/>
    </row>
    <row r="3" spans="1:3" ht="15" x14ac:dyDescent="0.2">
      <c r="A3" s="1" t="s">
        <v>1</v>
      </c>
    </row>
    <row r="4" spans="1:3" ht="24.95" customHeight="1" x14ac:dyDescent="0.15">
      <c r="A4" s="2" t="s">
        <v>2</v>
      </c>
      <c r="B4" s="2" t="s">
        <v>3</v>
      </c>
      <c r="C4" s="2" t="s">
        <v>4</v>
      </c>
    </row>
    <row r="5" spans="1:3" ht="21.95" customHeight="1" x14ac:dyDescent="0.25">
      <c r="A5" s="3" t="s">
        <v>5</v>
      </c>
      <c r="B5" s="4">
        <v>62.75</v>
      </c>
      <c r="C5" s="5" t="s">
        <v>6</v>
      </c>
    </row>
    <row r="6" spans="1:3" ht="21.95" customHeight="1" x14ac:dyDescent="0.25">
      <c r="A6" s="3" t="s">
        <v>7</v>
      </c>
      <c r="B6" s="4">
        <v>50</v>
      </c>
      <c r="C6" s="5" t="s">
        <v>8</v>
      </c>
    </row>
    <row r="7" spans="1:3" ht="21.95" customHeight="1" x14ac:dyDescent="0.25">
      <c r="A7" s="3" t="s">
        <v>9</v>
      </c>
      <c r="B7" s="4">
        <v>35.442999999999998</v>
      </c>
      <c r="C7" s="5" t="s">
        <v>6</v>
      </c>
    </row>
    <row r="8" spans="1:3" ht="21.95" customHeight="1" x14ac:dyDescent="0.25">
      <c r="A8" s="3" t="s">
        <v>10</v>
      </c>
      <c r="B8" s="4">
        <v>15.467000000000001</v>
      </c>
      <c r="C8" s="5" t="s">
        <v>11</v>
      </c>
    </row>
    <row r="9" spans="1:3" ht="21.95" customHeight="1" x14ac:dyDescent="0.25">
      <c r="A9" s="3" t="s">
        <v>12</v>
      </c>
      <c r="B9" s="4">
        <v>43.323</v>
      </c>
      <c r="C9" s="5" t="s">
        <v>6</v>
      </c>
    </row>
    <row r="10" spans="1:3" ht="21.95" customHeight="1" x14ac:dyDescent="0.25">
      <c r="A10" s="3" t="s">
        <v>13</v>
      </c>
      <c r="B10" s="4">
        <v>10.779</v>
      </c>
      <c r="C10" s="5" t="s">
        <v>11</v>
      </c>
    </row>
    <row r="11" spans="1:3" ht="21.95" customHeight="1" x14ac:dyDescent="0.25">
      <c r="A11" s="3" t="s">
        <v>14</v>
      </c>
      <c r="B11" s="4">
        <v>10660.811</v>
      </c>
      <c r="C11" s="5" t="s">
        <v>15</v>
      </c>
    </row>
    <row r="12" spans="1:3" ht="21.95" customHeight="1" x14ac:dyDescent="0.25">
      <c r="A12" s="3" t="s">
        <v>16</v>
      </c>
      <c r="B12" s="4">
        <v>5766</v>
      </c>
      <c r="C12" s="5" t="s">
        <v>15</v>
      </c>
    </row>
    <row r="15" spans="1:3" ht="15" x14ac:dyDescent="0.2">
      <c r="A15" s="1" t="s">
        <v>17</v>
      </c>
    </row>
    <row r="16" spans="1:3" ht="24.95" customHeight="1" x14ac:dyDescent="0.15">
      <c r="A16" s="2" t="s">
        <v>18</v>
      </c>
      <c r="B16" s="2" t="s">
        <v>19</v>
      </c>
      <c r="C16" s="2" t="s">
        <v>4</v>
      </c>
    </row>
    <row r="17" spans="1:3" ht="24" customHeight="1" x14ac:dyDescent="0.2">
      <c r="A17" s="6" t="s">
        <v>20</v>
      </c>
      <c r="B17" s="7">
        <f>B7-B9</f>
        <v>-7.8800000000000026</v>
      </c>
      <c r="C17" s="8" t="s">
        <v>6</v>
      </c>
    </row>
    <row r="18" spans="1:3" ht="24" customHeight="1" x14ac:dyDescent="0.2">
      <c r="A18" s="6" t="s">
        <v>21</v>
      </c>
      <c r="B18" s="7">
        <f>B10*(B6/100)</f>
        <v>5.3895</v>
      </c>
      <c r="C18" s="8" t="s">
        <v>11</v>
      </c>
    </row>
    <row r="19" spans="1:3" ht="24" customHeight="1" x14ac:dyDescent="0.2">
      <c r="A19" s="6" t="s">
        <v>22</v>
      </c>
      <c r="B19" s="9">
        <f>B11-B12</f>
        <v>4894.8109999999997</v>
      </c>
      <c r="C19" s="8" t="s">
        <v>15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workbookViewId="0">
      <selection activeCell="B27" sqref="B27"/>
    </sheetView>
  </sheetViews>
  <sheetFormatPr defaultRowHeight="14.25" x14ac:dyDescent="0.15"/>
  <cols>
    <col min="1" max="1" width="67.94140625" customWidth="1"/>
    <col min="2" max="2" width="36.96875" customWidth="1"/>
    <col min="3" max="3" width="24.9765625" customWidth="1"/>
  </cols>
  <sheetData>
    <row r="1" spans="1:3" ht="39.950000000000003" customHeight="1" x14ac:dyDescent="0.15">
      <c r="A1" s="18" t="s">
        <v>23</v>
      </c>
      <c r="B1" s="17"/>
      <c r="C1" s="17"/>
    </row>
    <row r="3" spans="1:3" ht="15" x14ac:dyDescent="0.2">
      <c r="A3" s="1" t="s">
        <v>24</v>
      </c>
    </row>
    <row r="4" spans="1:3" ht="24.95" customHeight="1" x14ac:dyDescent="0.15">
      <c r="A4" s="2" t="s">
        <v>25</v>
      </c>
      <c r="B4" s="2" t="s">
        <v>26</v>
      </c>
      <c r="C4" s="2" t="s">
        <v>4</v>
      </c>
    </row>
    <row r="5" spans="1:3" ht="30" customHeight="1" x14ac:dyDescent="0.2">
      <c r="A5" s="6" t="s">
        <v>27</v>
      </c>
      <c r="B5" s="10">
        <f>ข้อมูลและการคำนวณประจำวัน!B17</f>
        <v>-7.8800000000000026</v>
      </c>
      <c r="C5" s="8" t="s">
        <v>6</v>
      </c>
    </row>
    <row r="6" spans="1:3" ht="30" customHeight="1" x14ac:dyDescent="0.2">
      <c r="A6" s="6" t="s">
        <v>28</v>
      </c>
      <c r="B6" s="11">
        <f>ข้อมูลและการคำนวณประจำวัน!B18</f>
        <v>5.3895</v>
      </c>
      <c r="C6" s="8" t="s">
        <v>11</v>
      </c>
    </row>
    <row r="7" spans="1:3" ht="30" customHeight="1" x14ac:dyDescent="0.2">
      <c r="A7" s="6" t="s">
        <v>29</v>
      </c>
      <c r="B7" s="12">
        <f>ข้อมูลและการคำนวณประจำวัน!B19</f>
        <v>4894.8109999999997</v>
      </c>
      <c r="C7" s="8" t="s">
        <v>15</v>
      </c>
    </row>
    <row r="10" spans="1:3" ht="15" x14ac:dyDescent="0.2">
      <c r="A10" s="1" t="s">
        <v>30</v>
      </c>
    </row>
    <row r="11" spans="1:3" ht="24.95" customHeight="1" x14ac:dyDescent="0.15">
      <c r="A11" s="13" t="s">
        <v>31</v>
      </c>
      <c r="B11" s="13" t="s">
        <v>32</v>
      </c>
      <c r="C11" s="13" t="s">
        <v>4</v>
      </c>
    </row>
    <row r="12" spans="1:3" ht="20.100000000000001" customHeight="1" x14ac:dyDescent="0.25">
      <c r="A12" s="3" t="s">
        <v>33</v>
      </c>
      <c r="B12" s="14">
        <f>ข้อมูลและการคำนวณประจำวัน!B5</f>
        <v>62.75</v>
      </c>
      <c r="C12" s="5" t="s">
        <v>6</v>
      </c>
    </row>
    <row r="13" spans="1:3" ht="20.100000000000001" customHeight="1" x14ac:dyDescent="0.25">
      <c r="A13" s="3" t="s">
        <v>9</v>
      </c>
      <c r="B13" s="14">
        <f>ข้อมูลและการคำนวณประจำวัน!B7</f>
        <v>35.442999999999998</v>
      </c>
      <c r="C13" s="5" t="s">
        <v>6</v>
      </c>
    </row>
    <row r="14" spans="1:3" ht="20.100000000000001" customHeight="1" x14ac:dyDescent="0.25">
      <c r="A14" s="3" t="s">
        <v>10</v>
      </c>
      <c r="B14" s="14">
        <f>ข้อมูลและการคำนวณประจำวัน!B8</f>
        <v>15.467000000000001</v>
      </c>
      <c r="C14" s="5" t="s">
        <v>11</v>
      </c>
    </row>
    <row r="15" spans="1:3" ht="20.100000000000001" customHeight="1" x14ac:dyDescent="0.25">
      <c r="A15" s="3" t="s">
        <v>12</v>
      </c>
      <c r="B15" s="14">
        <f>ข้อมูลและการคำนวณประจำวัน!B9</f>
        <v>43.323</v>
      </c>
      <c r="C15" s="5" t="s">
        <v>6</v>
      </c>
    </row>
    <row r="16" spans="1:3" ht="20.100000000000001" customHeight="1" x14ac:dyDescent="0.25">
      <c r="A16" s="3" t="s">
        <v>13</v>
      </c>
      <c r="B16" s="14">
        <f>ข้อมูลและการคำนวณประจำวัน!B10</f>
        <v>10.779</v>
      </c>
      <c r="C16" s="5" t="s">
        <v>11</v>
      </c>
    </row>
    <row r="17" spans="1:3" ht="20.100000000000001" customHeight="1" x14ac:dyDescent="0.2">
      <c r="A17" s="6" t="s">
        <v>34</v>
      </c>
      <c r="B17" s="15">
        <f>ข้อมูลและการคำนวณประจำวัน!B17</f>
        <v>-7.8800000000000026</v>
      </c>
      <c r="C17" s="8" t="s">
        <v>6</v>
      </c>
    </row>
    <row r="18" spans="1:3" ht="20.100000000000001" customHeight="1" x14ac:dyDescent="0.2">
      <c r="A18" s="6" t="s">
        <v>35</v>
      </c>
      <c r="B18" s="15">
        <f>ข้อมูลและการคำนวณประจำวัน!B18</f>
        <v>5.3895</v>
      </c>
      <c r="C18" s="8" t="s">
        <v>11</v>
      </c>
    </row>
    <row r="19" spans="1:3" ht="20.100000000000001" customHeight="1" x14ac:dyDescent="0.25">
      <c r="A19" s="3" t="s">
        <v>36</v>
      </c>
      <c r="B19" s="14">
        <f>ข้อมูลและการคำนวณประจำวัน!B11</f>
        <v>10660.811</v>
      </c>
      <c r="C19" s="5" t="s">
        <v>15</v>
      </c>
    </row>
    <row r="20" spans="1:3" ht="20.100000000000001" customHeight="1" x14ac:dyDescent="0.25">
      <c r="A20" s="3" t="s">
        <v>16</v>
      </c>
      <c r="B20" s="14">
        <f>ข้อมูลและการคำนวณประจำวัน!B12</f>
        <v>5766</v>
      </c>
      <c r="C20" s="5" t="s">
        <v>15</v>
      </c>
    </row>
    <row r="21" spans="1:3" ht="20.100000000000001" customHeight="1" x14ac:dyDescent="0.2">
      <c r="A21" s="6" t="s">
        <v>37</v>
      </c>
      <c r="B21" s="15">
        <f>ข้อมูลและการคำนวณประจำวัน!B19</f>
        <v>4894.8109999999997</v>
      </c>
      <c r="C21" s="8" t="s">
        <v>15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ข้อมูลและการคำนวณประจำวัน</vt:lpstr>
      <vt:lpstr>สรุปรายงานประจำวัน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2026-06-30T00:35:39Z</dcterms:created>
  <dcterms:modified xsi:type="dcterms:W3CDTF">2026-06-30T00:35:39Z</dcterms:modified>
</cp:coreProperties>
</file>